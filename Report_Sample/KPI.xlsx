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2026\report_generate\"/>
    </mc:Choice>
  </mc:AlternateContent>
  <xr:revisionPtr revIDLastSave="0" documentId="13_ncr:1_{FA6F7BC5-592C-4D1A-A640-5ECE2ED972F6}" xr6:coauthVersionLast="47" xr6:coauthVersionMax="47" xr10:uidLastSave="{00000000-0000-0000-0000-000000000000}"/>
  <bookViews>
    <workbookView xWindow="768" yWindow="768" windowWidth="17280" windowHeight="10044" xr2:uid="{06CF28EE-B432-44B2-87A2-50BF8CB95518}"/>
  </bookViews>
  <sheets>
    <sheet name="K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I14" i="1" s="1"/>
  <c r="J14" i="1" s="1"/>
  <c r="K14" i="1" s="1"/>
  <c r="L14" i="1" s="1"/>
  <c r="M14" i="1" s="1"/>
  <c r="N14" i="1" s="1"/>
  <c r="O14" i="1" s="1"/>
  <c r="E13" i="1"/>
  <c r="F13" i="1" s="1"/>
  <c r="H12" i="1"/>
  <c r="I12" i="1" s="1"/>
  <c r="J12" i="1" s="1"/>
  <c r="K12" i="1" s="1"/>
  <c r="L12" i="1" s="1"/>
  <c r="M12" i="1" s="1"/>
  <c r="N12" i="1" s="1"/>
  <c r="O12" i="1" s="1"/>
  <c r="E12" i="1"/>
  <c r="F12" i="1" s="1"/>
  <c r="K10" i="1"/>
  <c r="L10" i="1" s="1"/>
  <c r="G10" i="1"/>
  <c r="H10" i="1" s="1"/>
  <c r="I10" i="1" s="1"/>
  <c r="N8" i="1"/>
  <c r="K8" i="1"/>
  <c r="I8" i="1"/>
  <c r="G8" i="1"/>
  <c r="E8" i="1"/>
  <c r="A8" i="1"/>
  <c r="A9" i="1" s="1"/>
  <c r="A10" i="1" s="1"/>
  <c r="A11" i="1" s="1"/>
  <c r="A12" i="1" s="1"/>
  <c r="M6" i="1"/>
  <c r="N6" i="1" s="1"/>
  <c r="I6" i="1"/>
  <c r="E6" i="1"/>
  <c r="F6" i="1" s="1"/>
  <c r="D5" i="1"/>
  <c r="D7" i="1" s="1"/>
  <c r="D9" i="1" s="1"/>
  <c r="D11" i="1" s="1"/>
  <c r="D15" i="1" s="1"/>
  <c r="A4" i="1"/>
  <c r="A5" i="1" s="1"/>
  <c r="A6" i="1" s="1"/>
  <c r="E3" i="1"/>
  <c r="E5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E7" i="1" l="1"/>
  <c r="E9" i="1" s="1"/>
  <c r="E11" i="1" s="1"/>
  <c r="E15" i="1" s="1"/>
  <c r="O6" i="1"/>
  <c r="G13" i="1"/>
  <c r="F3" i="1"/>
  <c r="G3" i="1" s="1"/>
  <c r="O8" i="1"/>
  <c r="L8" i="1"/>
  <c r="J6" i="1"/>
  <c r="H3" i="1" l="1"/>
  <c r="G5" i="1"/>
  <c r="G7" i="1" s="1"/>
  <c r="G9" i="1" s="1"/>
  <c r="G11" i="1" s="1"/>
  <c r="G15" i="1" s="1"/>
  <c r="H13" i="1"/>
  <c r="F5" i="1"/>
  <c r="F7" i="1" s="1"/>
  <c r="F9" i="1" s="1"/>
  <c r="F11" i="1" s="1"/>
  <c r="F15" i="1" s="1"/>
  <c r="I13" i="1" l="1"/>
  <c r="H5" i="1"/>
  <c r="H7" i="1" s="1"/>
  <c r="H9" i="1" s="1"/>
  <c r="H11" i="1" s="1"/>
  <c r="H15" i="1" s="1"/>
  <c r="I3" i="1"/>
  <c r="J3" i="1" l="1"/>
  <c r="I5" i="1"/>
  <c r="I7" i="1" s="1"/>
  <c r="I9" i="1" s="1"/>
  <c r="I11" i="1" s="1"/>
  <c r="I15" i="1" s="1"/>
  <c r="J13" i="1"/>
  <c r="K13" i="1" l="1"/>
  <c r="K3" i="1"/>
  <c r="J5" i="1"/>
  <c r="J7" i="1" s="1"/>
  <c r="J9" i="1" s="1"/>
  <c r="J11" i="1" s="1"/>
  <c r="J15" i="1" s="1"/>
  <c r="L13" i="1" l="1"/>
  <c r="L3" i="1"/>
  <c r="K5" i="1"/>
  <c r="K7" i="1" s="1"/>
  <c r="K9" i="1" s="1"/>
  <c r="K11" i="1" s="1"/>
  <c r="K15" i="1" s="1"/>
  <c r="L5" i="1" l="1"/>
  <c r="L7" i="1" s="1"/>
  <c r="L9" i="1" s="1"/>
  <c r="L11" i="1" s="1"/>
  <c r="L15" i="1" s="1"/>
  <c r="M3" i="1"/>
  <c r="M13" i="1"/>
  <c r="N13" i="1" l="1"/>
  <c r="M5" i="1"/>
  <c r="M7" i="1" s="1"/>
  <c r="M9" i="1" s="1"/>
  <c r="M11" i="1" s="1"/>
  <c r="M15" i="1" s="1"/>
  <c r="N3" i="1"/>
  <c r="O3" i="1" l="1"/>
  <c r="O5" i="1" s="1"/>
  <c r="O7" i="1" s="1"/>
  <c r="O9" i="1" s="1"/>
  <c r="O11" i="1" s="1"/>
  <c r="N5" i="1"/>
  <c r="N7" i="1" s="1"/>
  <c r="N9" i="1" s="1"/>
  <c r="N11" i="1" s="1"/>
  <c r="N15" i="1" s="1"/>
  <c r="O13" i="1"/>
  <c r="O15" i="1" l="1"/>
  <c r="P15" i="1" s="1"/>
</calcChain>
</file>

<file path=xl/sharedStrings.xml><?xml version="1.0" encoding="utf-8"?>
<sst xmlns="http://schemas.openxmlformats.org/spreadsheetml/2006/main" count="30" uniqueCount="21">
  <si>
    <t>Unit</t>
  </si>
  <si>
    <t>FY2026</t>
  </si>
  <si>
    <t>Total User Base</t>
  </si>
  <si>
    <t>000</t>
  </si>
  <si>
    <t>%</t>
  </si>
  <si>
    <t>Eligible Base For Cash Loan</t>
  </si>
  <si>
    <t>Traffic to Landing Page</t>
  </si>
  <si>
    <t>%Traffic/Eligible</t>
  </si>
  <si>
    <t>Submission</t>
  </si>
  <si>
    <t>%Submission/Traffic</t>
  </si>
  <si>
    <t>Approved</t>
  </si>
  <si>
    <t>Average Ticket Size</t>
  </si>
  <si>
    <t>VNDm</t>
  </si>
  <si>
    <t>Disbursement Volume</t>
  </si>
  <si>
    <t>Metrics</t>
  </si>
  <si>
    <t>No</t>
  </si>
  <si>
    <t>KPI</t>
  </si>
  <si>
    <t>%mom growth user base</t>
  </si>
  <si>
    <t>%Eligible/Total User Base</t>
  </si>
  <si>
    <t>%Approval Rate</t>
  </si>
  <si>
    <t>%mom growth ticket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</si>
</sst>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_);_(* \(#,##0\);_(* &quot;-&quot;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" fontId="2" fillId="0" borderId="1" xfId="0" applyNumberFormat="1" applyFont="1" applyBorder="1"/>
    <xf numFmtId="164" fontId="2" fillId="0" borderId="1" xfId="1" applyNumberFormat="1" applyFont="1" applyBorder="1" applyAlignment="1">
      <alignment horizontal="right"/>
    </xf>
    <xf numFmtId="0" fontId="2" fillId="0" borderId="0" xfId="0" quotePrefix="1" applyFont="1" applyAlignment="1">
      <alignment horizontal="center"/>
    </xf>
    <xf numFmtId="164" fontId="2" fillId="0" borderId="0" xfId="1" applyNumberFormat="1" applyFont="1"/>
    <xf numFmtId="0" fontId="2" fillId="0" borderId="0" xfId="0" applyFont="1" applyAlignment="1">
      <alignment horizontal="left" indent="1"/>
    </xf>
    <xf numFmtId="9" fontId="4" fillId="2" borderId="2" xfId="0" applyNumberFormat="1" applyFont="1" applyFill="1" applyBorder="1"/>
    <xf numFmtId="165" fontId="2" fillId="0" borderId="0" xfId="1" quotePrefix="1" applyNumberFormat="1" applyFont="1"/>
    <xf numFmtId="164" fontId="2" fillId="0" borderId="0" xfId="0" quotePrefix="1" applyNumberFormat="1" applyFont="1"/>
    <xf numFmtId="165" fontId="2" fillId="0" borderId="0" xfId="0" quotePrefix="1" applyNumberFormat="1" applyFont="1"/>
    <xf numFmtId="166" fontId="2" fillId="0" borderId="0" xfId="0" applyNumberFormat="1" applyFont="1"/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D114-EC76-4F9E-926F-955E0A073416}">
  <dimension ref="A1:P15"/>
  <sheetViews>
    <sheetView showGridLines="0" tabSelected="1" workbookViewId="0">
      <selection activeCell="B15" sqref="B15"/>
    </sheetView>
  </sheetViews>
  <sheetFormatPr defaultRowHeight="14.4" x14ac:dyDescent="0.3"/>
  <cols>
    <col min="1" max="1" width="7.77734375" customWidth="1"/>
    <col min="2" max="2" width="24.44140625" bestFit="1" customWidth="1"/>
    <col min="16" max="16" width="10.44140625" bestFit="1" customWidth="1"/>
  </cols>
  <sheetData>
    <row r="1" spans="1:16" s="1" customFormat="1" ht="13.2" x14ac:dyDescent="0.25">
      <c r="A1" s="15" t="s">
        <v>16</v>
      </c>
      <c r="C1" s="2"/>
    </row>
    <row r="2" spans="1:16" s="1" customFormat="1" ht="13.8" thickBot="1" x14ac:dyDescent="0.3">
      <c r="A2" s="3" t="s">
        <v>15</v>
      </c>
      <c r="B2" s="4" t="s">
        <v>14</v>
      </c>
      <c r="C2" s="3" t="s">
        <v>0</v>
      </c>
      <c r="D2" s="5">
        <v>46023</v>
      </c>
      <c r="E2" s="5">
        <f>EDATE(D2,1)</f>
        <v>46054</v>
      </c>
      <c r="F2" s="5">
        <f t="shared" ref="F2:O2" si="0">EDATE(E2,1)</f>
        <v>46082</v>
      </c>
      <c r="G2" s="5">
        <f t="shared" si="0"/>
        <v>46113</v>
      </c>
      <c r="H2" s="5">
        <f t="shared" si="0"/>
        <v>46143</v>
      </c>
      <c r="I2" s="5">
        <f t="shared" si="0"/>
        <v>46174</v>
      </c>
      <c r="J2" s="5">
        <f t="shared" si="0"/>
        <v>46204</v>
      </c>
      <c r="K2" s="5">
        <f t="shared" si="0"/>
        <v>46235</v>
      </c>
      <c r="L2" s="5">
        <f t="shared" si="0"/>
        <v>46266</v>
      </c>
      <c r="M2" s="5">
        <f t="shared" si="0"/>
        <v>46296</v>
      </c>
      <c r="N2" s="5">
        <f t="shared" si="0"/>
        <v>46327</v>
      </c>
      <c r="O2" s="5">
        <f t="shared" si="0"/>
        <v>46357</v>
      </c>
      <c r="P2" s="6" t="s">
        <v>1</v>
      </c>
    </row>
    <row r="3" spans="1:16" s="1" customFormat="1" ht="13.2" x14ac:dyDescent="0.25">
      <c r="A3" s="2">
        <v>1</v>
      </c>
      <c r="B3" s="1" t="s">
        <v>2</v>
      </c>
      <c r="C3" s="7" t="s">
        <v>3</v>
      </c>
      <c r="D3" s="8">
        <v>53</v>
      </c>
      <c r="E3" s="8">
        <f t="shared" ref="E3:O3" si="1">D3*(1+E4)</f>
        <v>55.650000000000006</v>
      </c>
      <c r="F3" s="8">
        <f t="shared" si="1"/>
        <v>58.432500000000012</v>
      </c>
      <c r="G3" s="8">
        <f t="shared" si="1"/>
        <v>61.354125000000018</v>
      </c>
      <c r="H3" s="8">
        <f t="shared" si="1"/>
        <v>64.421831250000025</v>
      </c>
      <c r="I3" s="8">
        <f t="shared" si="1"/>
        <v>67.642922812500032</v>
      </c>
      <c r="J3" s="8">
        <f t="shared" si="1"/>
        <v>71.025068953125043</v>
      </c>
      <c r="K3" s="8">
        <f t="shared" si="1"/>
        <v>74.576322400781294</v>
      </c>
      <c r="L3" s="8">
        <f t="shared" si="1"/>
        <v>78.305138520820364</v>
      </c>
      <c r="M3" s="8">
        <f t="shared" si="1"/>
        <v>82.220395446861389</v>
      </c>
      <c r="N3" s="8">
        <f t="shared" si="1"/>
        <v>86.331415219204459</v>
      </c>
      <c r="O3" s="8">
        <f t="shared" si="1"/>
        <v>90.647985980164691</v>
      </c>
    </row>
    <row r="4" spans="1:16" s="1" customFormat="1" ht="13.2" x14ac:dyDescent="0.25">
      <c r="A4" s="2">
        <f>A3+1</f>
        <v>2</v>
      </c>
      <c r="B4" s="9" t="s">
        <v>17</v>
      </c>
      <c r="C4" s="7" t="s">
        <v>4</v>
      </c>
      <c r="D4" s="10">
        <v>0.05</v>
      </c>
      <c r="E4" s="10">
        <v>0.05</v>
      </c>
      <c r="F4" s="10">
        <v>0.05</v>
      </c>
      <c r="G4" s="10">
        <v>0.05</v>
      </c>
      <c r="H4" s="10">
        <v>0.05</v>
      </c>
      <c r="I4" s="10">
        <v>0.05</v>
      </c>
      <c r="J4" s="10">
        <v>0.05</v>
      </c>
      <c r="K4" s="10">
        <v>0.05</v>
      </c>
      <c r="L4" s="10">
        <v>0.05</v>
      </c>
      <c r="M4" s="10">
        <v>0.05</v>
      </c>
      <c r="N4" s="10">
        <v>0.05</v>
      </c>
      <c r="O4" s="10">
        <v>0.05</v>
      </c>
    </row>
    <row r="5" spans="1:16" s="1" customFormat="1" ht="13.2" x14ac:dyDescent="0.25">
      <c r="A5" s="2">
        <f t="shared" ref="A5:A6" si="2">A4+1</f>
        <v>3</v>
      </c>
      <c r="B5" s="1" t="s">
        <v>5</v>
      </c>
      <c r="C5" s="7" t="s">
        <v>3</v>
      </c>
      <c r="D5" s="11">
        <f t="shared" ref="D5:O5" si="3">D6*D3</f>
        <v>10.600000000000001</v>
      </c>
      <c r="E5" s="11">
        <f t="shared" si="3"/>
        <v>11.130000000000003</v>
      </c>
      <c r="F5" s="11">
        <f t="shared" si="3"/>
        <v>11.686500000000002</v>
      </c>
      <c r="G5" s="11">
        <f t="shared" si="3"/>
        <v>15.338531250000004</v>
      </c>
      <c r="H5" s="11">
        <f t="shared" si="3"/>
        <v>22.547640937500006</v>
      </c>
      <c r="I5" s="11">
        <f t="shared" si="3"/>
        <v>23.675022984375008</v>
      </c>
      <c r="J5" s="11">
        <f t="shared" si="3"/>
        <v>24.858774133593762</v>
      </c>
      <c r="K5" s="11">
        <f t="shared" si="3"/>
        <v>33.559345080351584</v>
      </c>
      <c r="L5" s="11">
        <f t="shared" si="3"/>
        <v>46.983083112492217</v>
      </c>
      <c r="M5" s="11">
        <f t="shared" si="3"/>
        <v>49.332237268116835</v>
      </c>
      <c r="N5" s="11">
        <f t="shared" si="3"/>
        <v>51.798849131522672</v>
      </c>
      <c r="O5" s="11">
        <f t="shared" si="3"/>
        <v>54.388791588098812</v>
      </c>
    </row>
    <row r="6" spans="1:16" s="1" customFormat="1" ht="13.2" x14ac:dyDescent="0.25">
      <c r="A6" s="2">
        <f t="shared" si="2"/>
        <v>4</v>
      </c>
      <c r="B6" s="9" t="s">
        <v>18</v>
      </c>
      <c r="C6" s="2" t="s">
        <v>4</v>
      </c>
      <c r="D6" s="10">
        <v>0.2</v>
      </c>
      <c r="E6" s="10">
        <f>D6</f>
        <v>0.2</v>
      </c>
      <c r="F6" s="10">
        <f t="shared" ref="F6" si="4">E6</f>
        <v>0.2</v>
      </c>
      <c r="G6" s="10">
        <v>0.25</v>
      </c>
      <c r="H6" s="10">
        <v>0.35</v>
      </c>
      <c r="I6" s="10">
        <f>H6</f>
        <v>0.35</v>
      </c>
      <c r="J6" s="10">
        <f>I6</f>
        <v>0.35</v>
      </c>
      <c r="K6" s="10">
        <v>0.45</v>
      </c>
      <c r="L6" s="10">
        <v>0.6</v>
      </c>
      <c r="M6" s="10">
        <f>L6</f>
        <v>0.6</v>
      </c>
      <c r="N6" s="10">
        <f t="shared" ref="N6:O6" si="5">M6</f>
        <v>0.6</v>
      </c>
      <c r="O6" s="10">
        <f t="shared" si="5"/>
        <v>0.6</v>
      </c>
    </row>
    <row r="7" spans="1:16" s="1" customFormat="1" ht="13.2" x14ac:dyDescent="0.25">
      <c r="A7" s="2">
        <v>5</v>
      </c>
      <c r="B7" s="1" t="s">
        <v>6</v>
      </c>
      <c r="C7" s="7" t="s">
        <v>3</v>
      </c>
      <c r="D7" s="12">
        <f t="shared" ref="D7:O7" si="6">D8*D5</f>
        <v>3.18</v>
      </c>
      <c r="E7" s="12">
        <f t="shared" si="6"/>
        <v>3.3390000000000009</v>
      </c>
      <c r="F7" s="12">
        <f t="shared" si="6"/>
        <v>3.7396800000000008</v>
      </c>
      <c r="G7" s="12">
        <f t="shared" si="6"/>
        <v>4.9083300000000012</v>
      </c>
      <c r="H7" s="12">
        <f t="shared" si="6"/>
        <v>9.4700091937500019</v>
      </c>
      <c r="I7" s="12">
        <f t="shared" si="6"/>
        <v>9.9435096534375038</v>
      </c>
      <c r="J7" s="12">
        <f t="shared" si="6"/>
        <v>10.937860618781256</v>
      </c>
      <c r="K7" s="12">
        <f t="shared" si="6"/>
        <v>14.766111835354696</v>
      </c>
      <c r="L7" s="12">
        <f t="shared" si="6"/>
        <v>20.672556569496574</v>
      </c>
      <c r="M7" s="12">
        <f t="shared" si="6"/>
        <v>24.172796261377247</v>
      </c>
      <c r="N7" s="12">
        <f t="shared" si="6"/>
        <v>25.38143607444611</v>
      </c>
      <c r="O7" s="12">
        <f t="shared" si="6"/>
        <v>26.650507878168419</v>
      </c>
    </row>
    <row r="8" spans="1:16" s="1" customFormat="1" ht="13.2" x14ac:dyDescent="0.25">
      <c r="A8" s="2">
        <f>A7+1</f>
        <v>6</v>
      </c>
      <c r="B8" s="9" t="s">
        <v>7</v>
      </c>
      <c r="C8" s="2" t="s">
        <v>4</v>
      </c>
      <c r="D8" s="10">
        <v>0.3</v>
      </c>
      <c r="E8" s="10">
        <f>D8</f>
        <v>0.3</v>
      </c>
      <c r="F8" s="10">
        <v>0.32</v>
      </c>
      <c r="G8" s="10">
        <f>F8</f>
        <v>0.32</v>
      </c>
      <c r="H8" s="10">
        <v>0.42</v>
      </c>
      <c r="I8" s="10">
        <f>H8</f>
        <v>0.42</v>
      </c>
      <c r="J8" s="10">
        <v>0.44</v>
      </c>
      <c r="K8" s="10">
        <f>J8</f>
        <v>0.44</v>
      </c>
      <c r="L8" s="10">
        <f t="shared" ref="L8" si="7">K8</f>
        <v>0.44</v>
      </c>
      <c r="M8" s="10">
        <v>0.49</v>
      </c>
      <c r="N8" s="10">
        <f>M8</f>
        <v>0.49</v>
      </c>
      <c r="O8" s="10">
        <f>N8</f>
        <v>0.49</v>
      </c>
    </row>
    <row r="9" spans="1:16" s="1" customFormat="1" ht="13.2" x14ac:dyDescent="0.25">
      <c r="A9" s="2">
        <f t="shared" ref="A9:A12" si="8">A8+1</f>
        <v>7</v>
      </c>
      <c r="B9" s="1" t="s">
        <v>8</v>
      </c>
      <c r="C9" s="7" t="s">
        <v>3</v>
      </c>
      <c r="D9" s="13">
        <f t="shared" ref="D9:O9" si="9">D7*D10</f>
        <v>0.31800000000000006</v>
      </c>
      <c r="E9" s="13">
        <f t="shared" si="9"/>
        <v>0.40068000000000009</v>
      </c>
      <c r="F9" s="13">
        <f t="shared" si="9"/>
        <v>0.52355520000000011</v>
      </c>
      <c r="G9" s="13">
        <f t="shared" si="9"/>
        <v>0.68716620000000028</v>
      </c>
      <c r="H9" s="13">
        <f t="shared" si="9"/>
        <v>1.3258012871250004</v>
      </c>
      <c r="I9" s="13">
        <f t="shared" si="9"/>
        <v>1.3920913514812507</v>
      </c>
      <c r="J9" s="13">
        <f t="shared" si="9"/>
        <v>1.750057699005001</v>
      </c>
      <c r="K9" s="13">
        <f t="shared" si="9"/>
        <v>2.3625778936567516</v>
      </c>
      <c r="L9" s="13">
        <f t="shared" si="9"/>
        <v>3.307609051119452</v>
      </c>
      <c r="M9" s="13">
        <f t="shared" si="9"/>
        <v>3.9885113831272458</v>
      </c>
      <c r="N9" s="13">
        <f t="shared" si="9"/>
        <v>4.1879369522836081</v>
      </c>
      <c r="O9" s="13">
        <f t="shared" si="9"/>
        <v>4.3973337998977895</v>
      </c>
    </row>
    <row r="10" spans="1:16" s="1" customFormat="1" ht="13.2" x14ac:dyDescent="0.25">
      <c r="A10" s="2">
        <f t="shared" si="8"/>
        <v>8</v>
      </c>
      <c r="B10" s="9" t="s">
        <v>9</v>
      </c>
      <c r="C10" s="2" t="s">
        <v>4</v>
      </c>
      <c r="D10" s="10">
        <v>0.1</v>
      </c>
      <c r="E10" s="10">
        <v>0.12</v>
      </c>
      <c r="F10" s="10">
        <v>0.14000000000000001</v>
      </c>
      <c r="G10" s="10">
        <f>F10</f>
        <v>0.14000000000000001</v>
      </c>
      <c r="H10" s="10">
        <f t="shared" ref="H10:I10" si="10">G10</f>
        <v>0.14000000000000001</v>
      </c>
      <c r="I10" s="10">
        <f t="shared" si="10"/>
        <v>0.14000000000000001</v>
      </c>
      <c r="J10" s="10">
        <v>0.16</v>
      </c>
      <c r="K10" s="10">
        <f>J10</f>
        <v>0.16</v>
      </c>
      <c r="L10" s="10">
        <f t="shared" ref="L10" si="11">K10</f>
        <v>0.16</v>
      </c>
      <c r="M10" s="10">
        <v>0.16500000000000001</v>
      </c>
      <c r="N10" s="10">
        <v>0.16500000000000001</v>
      </c>
      <c r="O10" s="10">
        <v>0.16500000000000001</v>
      </c>
    </row>
    <row r="11" spans="1:16" s="1" customFormat="1" ht="13.2" x14ac:dyDescent="0.25">
      <c r="A11" s="2">
        <f t="shared" si="8"/>
        <v>9</v>
      </c>
      <c r="B11" s="1" t="s">
        <v>10</v>
      </c>
      <c r="C11" s="7" t="s">
        <v>3</v>
      </c>
      <c r="D11" s="13">
        <f t="shared" ref="D11:O11" si="12">D9*D12</f>
        <v>0.19080000000000003</v>
      </c>
      <c r="E11" s="13">
        <f t="shared" si="12"/>
        <v>0.24040800000000004</v>
      </c>
      <c r="F11" s="13">
        <f t="shared" si="12"/>
        <v>0.31413312000000004</v>
      </c>
      <c r="G11" s="13">
        <f t="shared" si="12"/>
        <v>0.48101634000000015</v>
      </c>
      <c r="H11" s="13">
        <f t="shared" si="12"/>
        <v>0.92806090098750027</v>
      </c>
      <c r="I11" s="13">
        <f t="shared" si="12"/>
        <v>0.97446394603687547</v>
      </c>
      <c r="J11" s="13">
        <f t="shared" si="12"/>
        <v>1.2250403893035007</v>
      </c>
      <c r="K11" s="13">
        <f t="shared" si="12"/>
        <v>1.653804525559726</v>
      </c>
      <c r="L11" s="13">
        <f t="shared" si="12"/>
        <v>2.3153263357836162</v>
      </c>
      <c r="M11" s="13">
        <f t="shared" si="12"/>
        <v>2.791957968189072</v>
      </c>
      <c r="N11" s="13">
        <f t="shared" si="12"/>
        <v>2.9315558665985253</v>
      </c>
      <c r="O11" s="13">
        <f t="shared" si="12"/>
        <v>3.0781336599284526</v>
      </c>
    </row>
    <row r="12" spans="1:16" s="1" customFormat="1" ht="13.2" x14ac:dyDescent="0.25">
      <c r="A12" s="2">
        <f t="shared" si="8"/>
        <v>10</v>
      </c>
      <c r="B12" s="9" t="s">
        <v>19</v>
      </c>
      <c r="C12" s="2" t="s">
        <v>4</v>
      </c>
      <c r="D12" s="10">
        <v>0.6</v>
      </c>
      <c r="E12" s="10">
        <f t="shared" ref="E12:F12" si="13">D12</f>
        <v>0.6</v>
      </c>
      <c r="F12" s="10">
        <f t="shared" si="13"/>
        <v>0.6</v>
      </c>
      <c r="G12" s="10">
        <v>0.7</v>
      </c>
      <c r="H12" s="10">
        <f>G12</f>
        <v>0.7</v>
      </c>
      <c r="I12" s="10">
        <f t="shared" ref="I12:O12" si="14">H12</f>
        <v>0.7</v>
      </c>
      <c r="J12" s="10">
        <f t="shared" si="14"/>
        <v>0.7</v>
      </c>
      <c r="K12" s="10">
        <f t="shared" si="14"/>
        <v>0.7</v>
      </c>
      <c r="L12" s="10">
        <f t="shared" si="14"/>
        <v>0.7</v>
      </c>
      <c r="M12" s="10">
        <f t="shared" si="14"/>
        <v>0.7</v>
      </c>
      <c r="N12" s="10">
        <f t="shared" si="14"/>
        <v>0.7</v>
      </c>
      <c r="O12" s="10">
        <f t="shared" si="14"/>
        <v>0.7</v>
      </c>
    </row>
    <row r="13" spans="1:16" s="1" customFormat="1" ht="13.2" x14ac:dyDescent="0.25">
      <c r="A13" s="2">
        <v>11</v>
      </c>
      <c r="B13" s="1" t="s">
        <v>11</v>
      </c>
      <c r="C13" s="2" t="s">
        <v>12</v>
      </c>
      <c r="D13" s="1">
        <v>100</v>
      </c>
      <c r="E13" s="1">
        <f t="shared" ref="E13:O13" si="15">D13*(1+E14)</f>
        <v>100</v>
      </c>
      <c r="F13" s="1">
        <f t="shared" si="15"/>
        <v>110.00000000000001</v>
      </c>
      <c r="G13" s="1">
        <f t="shared" si="15"/>
        <v>110.00000000000001</v>
      </c>
      <c r="H13" s="1">
        <f t="shared" si="15"/>
        <v>110.00000000000001</v>
      </c>
      <c r="I13" s="1">
        <f t="shared" si="15"/>
        <v>110.00000000000001</v>
      </c>
      <c r="J13" s="1">
        <f t="shared" si="15"/>
        <v>110.00000000000001</v>
      </c>
      <c r="K13" s="1">
        <f t="shared" si="15"/>
        <v>110.00000000000001</v>
      </c>
      <c r="L13" s="1">
        <f t="shared" si="15"/>
        <v>110.00000000000001</v>
      </c>
      <c r="M13" s="1">
        <f t="shared" si="15"/>
        <v>110.00000000000001</v>
      </c>
      <c r="N13" s="1">
        <f t="shared" si="15"/>
        <v>110.00000000000001</v>
      </c>
      <c r="O13" s="1">
        <f t="shared" si="15"/>
        <v>110.00000000000001</v>
      </c>
    </row>
    <row r="14" spans="1:16" s="1" customFormat="1" ht="13.2" x14ac:dyDescent="0.25">
      <c r="A14" s="2">
        <v>12</v>
      </c>
      <c r="B14" s="9" t="s">
        <v>20</v>
      </c>
      <c r="C14" s="2"/>
      <c r="D14" s="10">
        <v>0</v>
      </c>
      <c r="E14" s="10">
        <v>0</v>
      </c>
      <c r="F14" s="10">
        <v>0.1</v>
      </c>
      <c r="G14" s="10">
        <v>0</v>
      </c>
      <c r="H14" s="10">
        <f>G14</f>
        <v>0</v>
      </c>
      <c r="I14" s="10">
        <f t="shared" ref="I14:O14" si="16">H14</f>
        <v>0</v>
      </c>
      <c r="J14" s="10">
        <f t="shared" si="16"/>
        <v>0</v>
      </c>
      <c r="K14" s="10">
        <f t="shared" si="16"/>
        <v>0</v>
      </c>
      <c r="L14" s="10">
        <f t="shared" si="16"/>
        <v>0</v>
      </c>
      <c r="M14" s="10">
        <f t="shared" si="16"/>
        <v>0</v>
      </c>
      <c r="N14" s="10">
        <f t="shared" si="16"/>
        <v>0</v>
      </c>
      <c r="O14" s="10">
        <f t="shared" si="16"/>
        <v>0</v>
      </c>
    </row>
    <row r="15" spans="1:16" s="1" customFormat="1" ht="13.2" x14ac:dyDescent="0.25">
      <c r="A15" s="2">
        <v>13</v>
      </c>
      <c r="B15" s="1" t="s">
        <v>13</v>
      </c>
      <c r="C15" s="2" t="s">
        <v>12</v>
      </c>
      <c r="D15" s="14">
        <f t="shared" ref="D15:O15" si="17">D13*D11*10^3</f>
        <v>19080.000000000004</v>
      </c>
      <c r="E15" s="14">
        <f t="shared" si="17"/>
        <v>24040.800000000003</v>
      </c>
      <c r="F15" s="14">
        <f t="shared" si="17"/>
        <v>34554.643200000006</v>
      </c>
      <c r="G15" s="14">
        <f t="shared" si="17"/>
        <v>52911.797400000025</v>
      </c>
      <c r="H15" s="14">
        <f t="shared" si="17"/>
        <v>102086.69910862503</v>
      </c>
      <c r="I15" s="14">
        <f t="shared" si="17"/>
        <v>107191.03406405631</v>
      </c>
      <c r="J15" s="14">
        <f t="shared" si="17"/>
        <v>134754.44282338509</v>
      </c>
      <c r="K15" s="14">
        <f t="shared" si="17"/>
        <v>181918.49781156989</v>
      </c>
      <c r="L15" s="14">
        <f t="shared" si="17"/>
        <v>254685.89693619782</v>
      </c>
      <c r="M15" s="14">
        <f t="shared" si="17"/>
        <v>307115.37650079798</v>
      </c>
      <c r="N15" s="14">
        <f t="shared" si="17"/>
        <v>322471.14532583783</v>
      </c>
      <c r="O15" s="14">
        <f t="shared" si="17"/>
        <v>338594.70259212982</v>
      </c>
      <c r="P15" s="14">
        <f>SUM(D15:O15)</f>
        <v>1879405.0357625997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Đinh Văn Kỳ</dc:creator>
  <cp:lastModifiedBy>Anh. Đinh Văn Kỳ</cp:lastModifiedBy>
  <dcterms:created xsi:type="dcterms:W3CDTF">2026-06-15T08:03:07Z</dcterms:created>
  <dcterms:modified xsi:type="dcterms:W3CDTF">2026-06-15T11:14:35Z</dcterms:modified>
</cp:coreProperties>
</file>