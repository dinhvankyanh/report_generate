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ckathon2026\report_generate\Report_Sample\"/>
    </mc:Choice>
  </mc:AlternateContent>
  <xr:revisionPtr revIDLastSave="0" documentId="13_ncr:1_{0996184B-D123-4E8E-A363-1BE05E864F06}" xr6:coauthVersionLast="47" xr6:coauthVersionMax="47" xr10:uidLastSave="{00000000-0000-0000-0000-000000000000}"/>
  <bookViews>
    <workbookView xWindow="-108" yWindow="-108" windowWidth="23256" windowHeight="13896" xr2:uid="{DA63E837-1019-4F36-8C84-174D5478E0EA}"/>
  </bookViews>
  <sheets>
    <sheet name="Actual 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1" l="1"/>
  <c r="I14" i="1" s="1"/>
  <c r="E14" i="1"/>
  <c r="E13" i="1" s="1"/>
  <c r="E12" i="1"/>
  <c r="F12" i="1" s="1"/>
  <c r="G12" i="1" s="1"/>
  <c r="H12" i="1" s="1"/>
  <c r="I12" i="1" s="1"/>
  <c r="F10" i="1"/>
  <c r="G10" i="1" s="1"/>
  <c r="H10" i="1" s="1"/>
  <c r="I10" i="1" s="1"/>
  <c r="E10" i="1"/>
  <c r="G8" i="1"/>
  <c r="E8" i="1"/>
  <c r="A8" i="1"/>
  <c r="A9" i="1" s="1"/>
  <c r="A10" i="1" s="1"/>
  <c r="A11" i="1" s="1"/>
  <c r="A12" i="1" s="1"/>
  <c r="E6" i="1"/>
  <c r="E5" i="1" s="1"/>
  <c r="D5" i="1"/>
  <c r="D7" i="1" s="1"/>
  <c r="D9" i="1" s="1"/>
  <c r="D11" i="1" s="1"/>
  <c r="D15" i="1" s="1"/>
  <c r="H4" i="1"/>
  <c r="G4" i="1"/>
  <c r="F4" i="1"/>
  <c r="E4" i="1"/>
  <c r="A4" i="1"/>
  <c r="A5" i="1" s="1"/>
  <c r="A6" i="1" s="1"/>
  <c r="I3" i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E7" i="1" l="1"/>
  <c r="E9" i="1" s="1"/>
  <c r="E11" i="1" s="1"/>
  <c r="E15" i="1"/>
  <c r="F14" i="1"/>
  <c r="F13" i="1" s="1"/>
  <c r="F6" i="1"/>
  <c r="H8" i="1"/>
  <c r="G13" i="1" l="1"/>
  <c r="I8" i="1"/>
  <c r="F5" i="1"/>
  <c r="F7" i="1" s="1"/>
  <c r="F9" i="1" s="1"/>
  <c r="F11" i="1" s="1"/>
  <c r="F15" i="1" s="1"/>
  <c r="G6" i="1"/>
  <c r="G5" i="1" l="1"/>
  <c r="G7" i="1" s="1"/>
  <c r="G9" i="1" s="1"/>
  <c r="G11" i="1" s="1"/>
  <c r="H6" i="1"/>
  <c r="H13" i="1"/>
  <c r="G15" i="1"/>
  <c r="I13" i="1" l="1"/>
  <c r="H5" i="1"/>
  <c r="H7" i="1" s="1"/>
  <c r="H9" i="1" s="1"/>
  <c r="H11" i="1" s="1"/>
  <c r="H15" i="1" s="1"/>
  <c r="I6" i="1"/>
  <c r="I5" i="1" s="1"/>
  <c r="I7" i="1" s="1"/>
  <c r="I9" i="1" s="1"/>
  <c r="I11" i="1" s="1"/>
  <c r="I15" i="1" l="1"/>
  <c r="P15" i="1" s="1"/>
</calcChain>
</file>

<file path=xl/sharedStrings.xml><?xml version="1.0" encoding="utf-8"?>
<sst xmlns="http://schemas.openxmlformats.org/spreadsheetml/2006/main" count="30" uniqueCount="21">
  <si>
    <t>Unit</t>
  </si>
  <si>
    <t>FY2026</t>
  </si>
  <si>
    <t>Total User Base</t>
  </si>
  <si>
    <t>000</t>
  </si>
  <si>
    <t>%</t>
  </si>
  <si>
    <t>Eligible Base For Cash Loan</t>
  </si>
  <si>
    <t>Traffic to Landing Page</t>
  </si>
  <si>
    <t>%Traffic/Eligible</t>
  </si>
  <si>
    <t>Submission</t>
  </si>
  <si>
    <t>%Submission/Traffic</t>
  </si>
  <si>
    <t>Approved</t>
  </si>
  <si>
    <t>Average Ticket Size</t>
  </si>
  <si>
    <t>VNDm</t>
  </si>
  <si>
    <t>Disbursement Volume</t>
  </si>
  <si>
    <t>No</t>
  </si>
  <si>
    <t>Metrics</t>
  </si>
  <si>
    <t>Actual performance</t>
  </si>
  <si>
    <t>%Eligible/Total User Base</t>
  </si>
  <si>
    <t>%Approval Rate</t>
  </si>
  <si>
    <t>%mom growth ticket size</t>
  </si>
  <si>
    <t>%mom growth user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</si>
</sst>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_);_(* \(#,##0\);_(* &quot;-&quot;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7" fontId="3" fillId="0" borderId="1" xfId="0" applyNumberFormat="1" applyFont="1" applyBorder="1"/>
    <xf numFmtId="164" fontId="3" fillId="0" borderId="1" xfId="1" applyNumberFormat="1" applyFont="1" applyBorder="1" applyAlignment="1">
      <alignment horizontal="right"/>
    </xf>
    <xf numFmtId="0" fontId="3" fillId="0" borderId="0" xfId="0" quotePrefix="1" applyFont="1" applyAlignment="1">
      <alignment horizontal="center"/>
    </xf>
    <xf numFmtId="164" fontId="3" fillId="0" borderId="0" xfId="1" applyNumberFormat="1" applyFont="1"/>
    <xf numFmtId="0" fontId="3" fillId="0" borderId="0" xfId="0" applyFont="1" applyAlignment="1">
      <alignment horizontal="left" indent="1"/>
    </xf>
    <xf numFmtId="9" fontId="4" fillId="2" borderId="2" xfId="0" applyNumberFormat="1" applyFont="1" applyFill="1" applyBorder="1"/>
    <xf numFmtId="164" fontId="3" fillId="0" borderId="0" xfId="1" quotePrefix="1" applyNumberFormat="1" applyFont="1"/>
    <xf numFmtId="165" fontId="3" fillId="0" borderId="0" xfId="1" quotePrefix="1" applyNumberFormat="1" applyFont="1"/>
    <xf numFmtId="164" fontId="3" fillId="0" borderId="0" xfId="0" quotePrefix="1" applyNumberFormat="1" applyFont="1"/>
    <xf numFmtId="165" fontId="3" fillId="0" borderId="0" xfId="0" quotePrefix="1" applyNumberFormat="1" applyFont="1"/>
    <xf numFmtId="166" fontId="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02A8-FEAD-4FF3-BB0C-4D97FAB41FEF}">
  <dimension ref="A1:P15"/>
  <sheetViews>
    <sheetView showGridLines="0" tabSelected="1" workbookViewId="0">
      <selection activeCell="E21" sqref="E21"/>
    </sheetView>
  </sheetViews>
  <sheetFormatPr defaultRowHeight="14.4" x14ac:dyDescent="0.3"/>
  <cols>
    <col min="1" max="1" width="8.5546875" customWidth="1"/>
    <col min="2" max="2" width="24.44140625" bestFit="1" customWidth="1"/>
  </cols>
  <sheetData>
    <row r="1" spans="1:16" s="4" customFormat="1" ht="13.2" x14ac:dyDescent="0.25">
      <c r="A1" s="1" t="s">
        <v>16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s="4" customFormat="1" ht="13.8" thickBot="1" x14ac:dyDescent="0.3">
      <c r="A2" s="5" t="s">
        <v>14</v>
      </c>
      <c r="B2" s="6" t="s">
        <v>15</v>
      </c>
      <c r="C2" s="5" t="s">
        <v>0</v>
      </c>
      <c r="D2" s="7">
        <v>46023</v>
      </c>
      <c r="E2" s="7">
        <f>EDATE(D2,1)</f>
        <v>46054</v>
      </c>
      <c r="F2" s="7">
        <f t="shared" ref="F2:I2" si="0">EDATE(E2,1)</f>
        <v>46082</v>
      </c>
      <c r="G2" s="7">
        <f t="shared" si="0"/>
        <v>46113</v>
      </c>
      <c r="H2" s="7">
        <f t="shared" si="0"/>
        <v>46143</v>
      </c>
      <c r="I2" s="7">
        <f t="shared" si="0"/>
        <v>46174</v>
      </c>
      <c r="J2" s="7">
        <f t="shared" ref="J2" si="1">EDATE(I2,1)</f>
        <v>46204</v>
      </c>
      <c r="K2" s="7">
        <f t="shared" ref="K2" si="2">EDATE(J2,1)</f>
        <v>46235</v>
      </c>
      <c r="L2" s="7">
        <f t="shared" ref="L2" si="3">EDATE(K2,1)</f>
        <v>46266</v>
      </c>
      <c r="M2" s="7">
        <f t="shared" ref="M2" si="4">EDATE(L2,1)</f>
        <v>46296</v>
      </c>
      <c r="N2" s="7">
        <f t="shared" ref="N2" si="5">EDATE(M2,1)</f>
        <v>46327</v>
      </c>
      <c r="O2" s="7">
        <f t="shared" ref="O2" si="6">EDATE(N2,1)</f>
        <v>46357</v>
      </c>
      <c r="P2" s="8" t="s">
        <v>1</v>
      </c>
    </row>
    <row r="3" spans="1:16" s="4" customFormat="1" ht="13.2" x14ac:dyDescent="0.25">
      <c r="A3" s="3">
        <v>1</v>
      </c>
      <c r="B3" s="2" t="s">
        <v>2</v>
      </c>
      <c r="C3" s="9" t="s">
        <v>3</v>
      </c>
      <c r="D3" s="10">
        <v>52.5</v>
      </c>
      <c r="E3" s="10">
        <v>55.125</v>
      </c>
      <c r="F3" s="10">
        <v>57.881250000000001</v>
      </c>
      <c r="G3" s="10">
        <v>60.775312500000005</v>
      </c>
      <c r="H3" s="10">
        <v>63.814078125000009</v>
      </c>
      <c r="I3" s="10">
        <f t="shared" ref="I3" si="7">H3*(1+I4)</f>
        <v>67.004782031250016</v>
      </c>
      <c r="J3" s="10"/>
      <c r="K3" s="10"/>
      <c r="L3" s="10"/>
      <c r="M3" s="10"/>
      <c r="N3" s="10"/>
      <c r="O3" s="10"/>
      <c r="P3" s="2"/>
    </row>
    <row r="4" spans="1:16" s="4" customFormat="1" ht="13.2" x14ac:dyDescent="0.25">
      <c r="A4" s="3">
        <f>A3+1</f>
        <v>2</v>
      </c>
      <c r="B4" s="11" t="s">
        <v>20</v>
      </c>
      <c r="C4" s="9" t="s">
        <v>4</v>
      </c>
      <c r="D4" s="12">
        <v>0.05</v>
      </c>
      <c r="E4" s="12">
        <f t="shared" ref="E4:H4" si="8">E3/D3-1</f>
        <v>5.0000000000000044E-2</v>
      </c>
      <c r="F4" s="12">
        <f t="shared" si="8"/>
        <v>5.0000000000000044E-2</v>
      </c>
      <c r="G4" s="12">
        <f t="shared" si="8"/>
        <v>5.0000000000000044E-2</v>
      </c>
      <c r="H4" s="12">
        <f t="shared" si="8"/>
        <v>5.0000000000000044E-2</v>
      </c>
      <c r="I4" s="12">
        <v>0.05</v>
      </c>
      <c r="J4" s="12"/>
      <c r="K4" s="12"/>
      <c r="L4" s="12"/>
      <c r="M4" s="12"/>
      <c r="N4" s="12"/>
      <c r="O4" s="12"/>
      <c r="P4" s="2"/>
    </row>
    <row r="5" spans="1:16" s="4" customFormat="1" ht="13.2" x14ac:dyDescent="0.25">
      <c r="A5" s="3">
        <f t="shared" ref="A5:A6" si="9">A4+1</f>
        <v>3</v>
      </c>
      <c r="B5" s="2" t="s">
        <v>5</v>
      </c>
      <c r="C5" s="9" t="s">
        <v>3</v>
      </c>
      <c r="D5" s="14">
        <f t="shared" ref="D5:I5" si="10">D6*D3</f>
        <v>10.5</v>
      </c>
      <c r="E5" s="14">
        <f t="shared" si="10"/>
        <v>11.025</v>
      </c>
      <c r="F5" s="14">
        <f t="shared" si="10"/>
        <v>11.576250000000002</v>
      </c>
      <c r="G5" s="14">
        <f t="shared" si="10"/>
        <v>12.155062500000001</v>
      </c>
      <c r="H5" s="14">
        <f t="shared" si="10"/>
        <v>22.334927343750003</v>
      </c>
      <c r="I5" s="14">
        <f t="shared" si="10"/>
        <v>23.451673710937506</v>
      </c>
      <c r="J5" s="13"/>
      <c r="K5" s="13"/>
      <c r="L5" s="13"/>
      <c r="M5" s="13"/>
      <c r="N5" s="13"/>
      <c r="O5" s="13"/>
      <c r="P5" s="2"/>
    </row>
    <row r="6" spans="1:16" s="4" customFormat="1" ht="13.2" x14ac:dyDescent="0.25">
      <c r="A6" s="3">
        <f t="shared" si="9"/>
        <v>4</v>
      </c>
      <c r="B6" s="11" t="s">
        <v>17</v>
      </c>
      <c r="C6" s="3" t="s">
        <v>4</v>
      </c>
      <c r="D6" s="12">
        <v>0.2</v>
      </c>
      <c r="E6" s="12">
        <f>D6</f>
        <v>0.2</v>
      </c>
      <c r="F6" s="12">
        <f>E6</f>
        <v>0.2</v>
      </c>
      <c r="G6" s="12">
        <f>F6</f>
        <v>0.2</v>
      </c>
      <c r="H6" s="12">
        <f>G6+5%+10%</f>
        <v>0.35</v>
      </c>
      <c r="I6" s="12">
        <f>H6</f>
        <v>0.35</v>
      </c>
      <c r="J6" s="12"/>
      <c r="K6" s="12"/>
      <c r="L6" s="12"/>
      <c r="M6" s="12"/>
      <c r="N6" s="12"/>
      <c r="O6" s="12"/>
      <c r="P6" s="2"/>
    </row>
    <row r="7" spans="1:16" s="4" customFormat="1" ht="13.2" x14ac:dyDescent="0.25">
      <c r="A7" s="3">
        <v>5</v>
      </c>
      <c r="B7" s="2" t="s">
        <v>6</v>
      </c>
      <c r="C7" s="9" t="s">
        <v>3</v>
      </c>
      <c r="D7" s="15">
        <f t="shared" ref="D7:I7" si="11">D8*D5</f>
        <v>3.15</v>
      </c>
      <c r="E7" s="15">
        <f t="shared" si="11"/>
        <v>3.3075000000000001</v>
      </c>
      <c r="F7" s="15">
        <f t="shared" si="11"/>
        <v>3.7044000000000006</v>
      </c>
      <c r="G7" s="15">
        <f t="shared" si="11"/>
        <v>3.8896200000000007</v>
      </c>
      <c r="H7" s="15">
        <f t="shared" si="11"/>
        <v>7.1471767500000007</v>
      </c>
      <c r="I7" s="15">
        <f t="shared" si="11"/>
        <v>9.8497029585937526</v>
      </c>
      <c r="J7" s="15"/>
      <c r="K7" s="15"/>
      <c r="L7" s="15"/>
      <c r="M7" s="15"/>
      <c r="N7" s="15"/>
      <c r="O7" s="15"/>
      <c r="P7" s="2"/>
    </row>
    <row r="8" spans="1:16" s="4" customFormat="1" ht="13.2" x14ac:dyDescent="0.25">
      <c r="A8" s="3">
        <f>A7+1</f>
        <v>6</v>
      </c>
      <c r="B8" s="11" t="s">
        <v>7</v>
      </c>
      <c r="C8" s="3" t="s">
        <v>4</v>
      </c>
      <c r="D8" s="12">
        <v>0.3</v>
      </c>
      <c r="E8" s="12">
        <f>D8</f>
        <v>0.3</v>
      </c>
      <c r="F8" s="12">
        <v>0.32</v>
      </c>
      <c r="G8" s="12">
        <f>F8</f>
        <v>0.32</v>
      </c>
      <c r="H8" s="12">
        <f>G8</f>
        <v>0.32</v>
      </c>
      <c r="I8" s="12">
        <f>H8+10%</f>
        <v>0.42000000000000004</v>
      </c>
      <c r="J8" s="12"/>
      <c r="K8" s="12"/>
      <c r="L8" s="12"/>
      <c r="M8" s="12"/>
      <c r="N8" s="12"/>
      <c r="O8" s="12"/>
      <c r="P8" s="2"/>
    </row>
    <row r="9" spans="1:16" s="2" customFormat="1" ht="13.2" x14ac:dyDescent="0.25">
      <c r="A9" s="3">
        <f t="shared" ref="A9:A12" si="12">A8+1</f>
        <v>7</v>
      </c>
      <c r="B9" s="2" t="s">
        <v>8</v>
      </c>
      <c r="C9" s="9" t="s">
        <v>3</v>
      </c>
      <c r="D9" s="16">
        <f t="shared" ref="D9:I9" si="13">D7*D10</f>
        <v>0.315</v>
      </c>
      <c r="E9" s="16">
        <f t="shared" si="13"/>
        <v>0.39690000000000003</v>
      </c>
      <c r="F9" s="16">
        <f t="shared" si="13"/>
        <v>0.51861600000000008</v>
      </c>
      <c r="G9" s="16">
        <f t="shared" si="13"/>
        <v>0.5445468</v>
      </c>
      <c r="H9" s="16">
        <f t="shared" si="13"/>
        <v>1.000604745</v>
      </c>
      <c r="I9" s="16">
        <f t="shared" si="13"/>
        <v>1.3789584142031253</v>
      </c>
      <c r="J9" s="16"/>
      <c r="K9" s="16"/>
      <c r="L9" s="16"/>
      <c r="M9" s="16"/>
      <c r="N9" s="16"/>
      <c r="O9" s="16"/>
    </row>
    <row r="10" spans="1:16" s="2" customFormat="1" ht="13.2" x14ac:dyDescent="0.25">
      <c r="A10" s="3">
        <f t="shared" si="12"/>
        <v>8</v>
      </c>
      <c r="B10" s="11" t="s">
        <v>9</v>
      </c>
      <c r="C10" s="3" t="s">
        <v>4</v>
      </c>
      <c r="D10" s="12">
        <v>0.1</v>
      </c>
      <c r="E10" s="12">
        <f>D10+2%</f>
        <v>0.12000000000000001</v>
      </c>
      <c r="F10" s="12">
        <f>12%+2%</f>
        <v>0.13999999999999999</v>
      </c>
      <c r="G10" s="12">
        <f>F10</f>
        <v>0.13999999999999999</v>
      </c>
      <c r="H10" s="12">
        <f t="shared" ref="H10:I10" si="14">G10</f>
        <v>0.13999999999999999</v>
      </c>
      <c r="I10" s="12">
        <f t="shared" si="14"/>
        <v>0.13999999999999999</v>
      </c>
      <c r="J10" s="12"/>
      <c r="K10" s="12"/>
      <c r="L10" s="12"/>
      <c r="M10" s="12"/>
      <c r="N10" s="12"/>
      <c r="O10" s="12"/>
    </row>
    <row r="11" spans="1:16" s="2" customFormat="1" ht="13.2" x14ac:dyDescent="0.25">
      <c r="A11" s="3">
        <f t="shared" si="12"/>
        <v>9</v>
      </c>
      <c r="B11" s="2" t="s">
        <v>10</v>
      </c>
      <c r="C11" s="9" t="s">
        <v>3</v>
      </c>
      <c r="D11" s="16">
        <f t="shared" ref="D11:I11" si="15">D9*D12</f>
        <v>0.189</v>
      </c>
      <c r="E11" s="16">
        <f t="shared" si="15"/>
        <v>0.23814000000000002</v>
      </c>
      <c r="F11" s="16">
        <f t="shared" si="15"/>
        <v>0.28523880000000001</v>
      </c>
      <c r="G11" s="16">
        <f t="shared" si="15"/>
        <v>0.29950073999999999</v>
      </c>
      <c r="H11" s="16">
        <f t="shared" si="15"/>
        <v>0.65039308424999986</v>
      </c>
      <c r="I11" s="16">
        <f t="shared" si="15"/>
        <v>0.89632296923203125</v>
      </c>
      <c r="J11" s="16"/>
      <c r="K11" s="16"/>
      <c r="L11" s="16"/>
      <c r="M11" s="16"/>
      <c r="N11" s="16"/>
      <c r="O11" s="16"/>
    </row>
    <row r="12" spans="1:16" s="2" customFormat="1" ht="13.2" x14ac:dyDescent="0.25">
      <c r="A12" s="3">
        <f t="shared" si="12"/>
        <v>10</v>
      </c>
      <c r="B12" s="11" t="s">
        <v>18</v>
      </c>
      <c r="C12" s="3" t="s">
        <v>4</v>
      </c>
      <c r="D12" s="12">
        <v>0.6</v>
      </c>
      <c r="E12" s="12">
        <f>D12</f>
        <v>0.6</v>
      </c>
      <c r="F12" s="12">
        <f>E12-5%</f>
        <v>0.54999999999999993</v>
      </c>
      <c r="G12" s="12">
        <f>F12</f>
        <v>0.54999999999999993</v>
      </c>
      <c r="H12" s="12">
        <f>G12+10%</f>
        <v>0.64999999999999991</v>
      </c>
      <c r="I12" s="12">
        <f t="shared" ref="I12" si="16">H12</f>
        <v>0.64999999999999991</v>
      </c>
      <c r="J12" s="12"/>
      <c r="K12" s="12"/>
      <c r="L12" s="12"/>
      <c r="M12" s="12"/>
      <c r="N12" s="12"/>
      <c r="O12" s="12"/>
    </row>
    <row r="13" spans="1:16" s="2" customFormat="1" ht="13.2" x14ac:dyDescent="0.25">
      <c r="A13" s="3">
        <v>11</v>
      </c>
      <c r="B13" s="2" t="s">
        <v>11</v>
      </c>
      <c r="C13" s="3" t="s">
        <v>12</v>
      </c>
      <c r="D13" s="2">
        <v>100</v>
      </c>
      <c r="E13" s="2">
        <f t="shared" ref="E13:I13" si="17">D13*(1+E14)</f>
        <v>100</v>
      </c>
      <c r="F13" s="2">
        <f t="shared" si="17"/>
        <v>110.00000000000001</v>
      </c>
      <c r="G13" s="2">
        <f t="shared" si="17"/>
        <v>110.00000000000001</v>
      </c>
      <c r="H13" s="2">
        <f t="shared" si="17"/>
        <v>110.00000000000001</v>
      </c>
      <c r="I13" s="2">
        <f t="shared" si="17"/>
        <v>110.00000000000001</v>
      </c>
    </row>
    <row r="14" spans="1:16" s="2" customFormat="1" ht="13.2" x14ac:dyDescent="0.25">
      <c r="A14" s="3">
        <v>12</v>
      </c>
      <c r="B14" s="11" t="s">
        <v>19</v>
      </c>
      <c r="C14" s="3"/>
      <c r="D14" s="12">
        <v>0</v>
      </c>
      <c r="E14" s="12">
        <f>D14</f>
        <v>0</v>
      </c>
      <c r="F14" s="12">
        <f>E14+10%</f>
        <v>0.1</v>
      </c>
      <c r="G14" s="12">
        <v>0</v>
      </c>
      <c r="H14" s="12">
        <f>G14</f>
        <v>0</v>
      </c>
      <c r="I14" s="12">
        <f t="shared" ref="I14" si="18">H14</f>
        <v>0</v>
      </c>
      <c r="J14" s="12"/>
      <c r="K14" s="12"/>
      <c r="L14" s="12"/>
      <c r="M14" s="12"/>
      <c r="N14" s="12"/>
      <c r="O14" s="12"/>
    </row>
    <row r="15" spans="1:16" s="2" customFormat="1" ht="13.2" x14ac:dyDescent="0.25">
      <c r="A15" s="3">
        <v>13</v>
      </c>
      <c r="B15" s="2" t="s">
        <v>13</v>
      </c>
      <c r="C15" s="3" t="s">
        <v>12</v>
      </c>
      <c r="D15" s="17">
        <f t="shared" ref="D15:I15" si="19">D13*D11*10^3</f>
        <v>18900</v>
      </c>
      <c r="E15" s="17">
        <f t="shared" si="19"/>
        <v>23814</v>
      </c>
      <c r="F15" s="17">
        <f t="shared" si="19"/>
        <v>31376.268000000007</v>
      </c>
      <c r="G15" s="17">
        <f t="shared" si="19"/>
        <v>32945.081400000003</v>
      </c>
      <c r="H15" s="17">
        <f t="shared" si="19"/>
        <v>71543.239267500001</v>
      </c>
      <c r="I15" s="17">
        <f t="shared" si="19"/>
        <v>98595.526615523457</v>
      </c>
      <c r="J15" s="17"/>
      <c r="K15" s="17"/>
      <c r="L15" s="17"/>
      <c r="M15" s="17"/>
      <c r="N15" s="17"/>
      <c r="O15" s="17"/>
      <c r="P15" s="17">
        <f>SUM(D15:O15)</f>
        <v>277174.11528302345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 performance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Anh. Đinh Văn Kỳ</dc:creator>
  <cp:lastModifiedBy>Anh. Đinh Văn Kỳ</cp:lastModifiedBy>
  <dcterms:created xsi:type="dcterms:W3CDTF">2026-06-15T08:04:40Z</dcterms:created>
  <dcterms:modified xsi:type="dcterms:W3CDTF">2026-06-15T17:48:03Z</dcterms:modified>
</cp:coreProperties>
</file>